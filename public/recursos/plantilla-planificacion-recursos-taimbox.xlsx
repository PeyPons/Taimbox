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quipo" state="visible" r:id="rId5"/>
    <sheet sheetId="3" name="Proyectos" state="visible" r:id="rId6"/>
    <sheet sheetId="4" name="Asignacion" state="visible" r:id="rId7"/>
    <sheet sheetId="5" name="Insights" state="visible" r:id="rId8"/>
  </sheets>
  <calcPr calcId="171027"/>
</workbook>
</file>

<file path=xl/sharedStrings.xml><?xml version="1.0" encoding="utf-8"?>
<sst xmlns="http://schemas.openxmlformats.org/spreadsheetml/2006/main" count="326" uniqueCount="155">
  <si>
    <t>🗂️  PLANTILLA DE PLANIFICACIÓN DE RECURSOS — Taimbox</t>
  </si>
  <si>
    <t/>
  </si>
  <si>
    <t>Esta plantilla tiene 4 hojas de trabajo + esta página de instrucciones.</t>
  </si>
  <si>
    <t>Todas las fórmulas están conectadas: edita los datos base y el resto se actualiza solo.</t>
  </si>
  <si>
    <t>Las celdas con fórmula están protegidas (fondo gris claro); solo puedes editar las celdas de entrada.</t>
  </si>
  <si>
    <t>── HOJA "Equipo" ──</t>
  </si>
  <si>
    <t>• Rellena una fila por persona del equipo (nombre, rol, jornada, coste hora).</t>
  </si>
  <si>
    <t>• Ajusta las horas de reuniones, admin/formación y ausencias cada semana.</t>
  </si>
  <si>
    <t>• La columna "Capacidad neta" se calcula automáticamente: Jornada − Reuniones − Admin − Ausencias.</t>
  </si>
  <si>
    <t>• "Coste hora" es el coste interno (no precio de venta); se usa para calcular márgenes en "Proyectos" e "Insights".</t>
  </si>
  <si>
    <t>── HOJA "Proyectos" ──</t>
  </si>
  <si>
    <t>• Un proyecto (o cliente-servicio) por fila. Fee y horas presupuestadas son mensuales.</t>
  </si>
  <si>
    <t>• Las columnas "Horas asignadas semana", "Pacing", "Coste semana" y "Margen" se calculan desde "Asignación".</t>
  </si>
  <si>
    <t>• El pacing compara las horas asignadas esta semana con la media semanal presupuestada (horas mes ÷ 4).</t>
  </si>
  <si>
    <t>• El margen es: fee mensual − (coste semanal estimado × 4 semanas).</t>
  </si>
  <si>
    <t>── HOJA "Asignación" ──</t>
  </si>
  <si>
    <t>• Una fila por cada bloque persona + proyecto + semana.</t>
  </si>
  <si>
    <t>• Las columnas "Persona" y "Proyecto" tienen desplegables enlazados a "Equipo" y "Proyectos" (evita errores de escritura).</t>
  </si>
  <si>
    <t>• Duplica filas para semanas distintas cambiando la columna "Semana".</t>
  </si>
  <si>
    <t>• Incluye datos de ejemplo de dos semanas (S12 y S13) para que veas el patrón.</t>
  </si>
  <si>
    <t>── HOJA "Insights" ──</t>
  </si>
  <si>
    <t>• Se actualiza sola desde las demás hojas. No toques las fórmulas.</t>
  </si>
  <si>
    <t>• Formato condicional automático: 🟢 verde (70–90%), 🟡 ámbar (&gt;90%), 🔴 rojo (≥100%).</t>
  </si>
  <si>
    <t>• Estado con 4 niveles: ✅ ÓPTIMO, ⚠️ RIESGO, ⛔ SOBRECARGA, 💤 BAJA CARGA.</t>
  </si>
  <si>
    <t>• KPIs de resumen debajo de la tabla: utilización media, personas en riesgo, horas libres, coste total e "Impuesto Excel".</t>
  </si>
  <si>
    <t>── CUÁNDO ACTUALIZAR ──</t>
  </si>
  <si>
    <t>• Cada lunes: ajustar ausencias en "Equipo" y añadir las asignaciones de la nueva semana en "Asignación".</t>
  </si>
  <si>
    <t>• Cuando entre un proyecto nuevo: añadir fila en "Proyectos" y las asignaciones correspondientes.</t>
  </si>
  <si>
    <t>• Cuando se incorpore alguien: añadir fila en "Equipo" y actualizar los desplegables si es necesario.</t>
  </si>
  <si>
    <t>── CONSEJOS PARA NO ROMPER LA HOJA ──</t>
  </si>
  <si>
    <t>• Usa siempre los desplegables en "Asignación". Si escribes el nombre a mano y hay una tilde o espacio distinto, las fórmulas no cruzan.</t>
  </si>
  <si>
    <t>• No borres filas dentro de rangos de fórmula; mejor vacía el contenido y déjala en blanco.</t>
  </si>
  <si>
    <t>• Si necesitas más filas de persona o proyecto, insértalas ANTES de la fila de totales.</t>
  </si>
  <si>
    <t>── SIGUIENTE PASO ──</t>
  </si>
  <si>
    <t>• Cuando el mantenimiento semanal pese más que el valor que aporta, la misma lógica vive en Taimbox.</t>
  </si>
  <si>
    <t>• taimbox.com/planificador-recursos</t>
  </si>
  <si>
    <t>Persona</t>
  </si>
  <si>
    <t>Rol / Departamento</t>
  </si>
  <si>
    <t>Jornada (h/sem)</t>
  </si>
  <si>
    <t>Reuniones (h)</t>
  </si>
  <si>
    <t>Admin / formación (h)</t>
  </si>
  <si>
    <t>Ausencias semana (h)</t>
  </si>
  <si>
    <t>Capacidad neta (h)</t>
  </si>
  <si>
    <t>Coste hora (€)</t>
  </si>
  <si>
    <t>Ana López</t>
  </si>
  <si>
    <t>Paid Media</t>
  </si>
  <si>
    <t>Luis García</t>
  </si>
  <si>
    <t>Diseño</t>
  </si>
  <si>
    <t>María Pérez</t>
  </si>
  <si>
    <t>Cuentas / Traffic</t>
  </si>
  <si>
    <t>Carlos Ruiz</t>
  </si>
  <si>
    <t>SEO / Contenidos</t>
  </si>
  <si>
    <t>Elena Martín</t>
  </si>
  <si>
    <t>Social Media</t>
  </si>
  <si>
    <t>Jorge Navarro</t>
  </si>
  <si>
    <t>Desarrollo Web</t>
  </si>
  <si>
    <t>Sara Díaz</t>
  </si>
  <si>
    <t>Estrategia / Dirección</t>
  </si>
  <si>
    <t>Pablo Torres</t>
  </si>
  <si>
    <t>Diseño Junior</t>
  </si>
  <si>
    <t>(Tu nombre)</t>
  </si>
  <si>
    <t>(Departamento)</t>
  </si>
  <si>
    <t>TOTALES</t>
  </si>
  <si>
    <t>📋 Rellena una fila por persona. "Capacidad neta" se calcula sola (Jornada − Reuniones − Admin − Ausencias). Actualiza "Ausencias semana" cada lunes.</t>
  </si>
  <si>
    <t>Proyecto / Cliente</t>
  </si>
  <si>
    <t>Tipo</t>
  </si>
  <si>
    <t>Fee mensual (€)</t>
  </si>
  <si>
    <t>Horas presup. / mes</t>
  </si>
  <si>
    <t>Horas asignadas semana</t>
  </si>
  <si>
    <t>Pacing horas (%)</t>
  </si>
  <si>
    <t>Coste semana est. (€)</t>
  </si>
  <si>
    <t>Margen mensual est. (€)</t>
  </si>
  <si>
    <t>Marca Alpha — Paid</t>
  </si>
  <si>
    <t>Retainer</t>
  </si>
  <si>
    <t>Marca Alpha — Social</t>
  </si>
  <si>
    <t>Marca Beta — Web</t>
  </si>
  <si>
    <t>Proyecto</t>
  </si>
  <si>
    <t>Marca Gamma — SEO</t>
  </si>
  <si>
    <t>Marca Delta — Branding</t>
  </si>
  <si>
    <t>Interno — Formación</t>
  </si>
  <si>
    <t>Interno</t>
  </si>
  <si>
    <t>(Proyecto)</t>
  </si>
  <si>
    <t>(Tipo)</t>
  </si>
  <si>
    <t>📋 Las horas y costes se calculan desde "Asignación". El pacing compara horas asignadas esta semana con la media semanal presupuestada (horas mes ÷ 4). Margen negativo aparece en rojo.</t>
  </si>
  <si>
    <t>Semana</t>
  </si>
  <si>
    <t>Horas asignadas</t>
  </si>
  <si>
    <t>Notas</t>
  </si>
  <si>
    <t>S12 (17-21 mar)</t>
  </si>
  <si>
    <t>Campaña Q1 — optimización</t>
  </si>
  <si>
    <t>Auditoría técnica</t>
  </si>
  <si>
    <t>Apoyo estrategia paid</t>
  </si>
  <si>
    <t>Creatividades mensuales</t>
  </si>
  <si>
    <t>Identidad visual fase 2</t>
  </si>
  <si>
    <t>Maquetación landing</t>
  </si>
  <si>
    <t>Seguimiento semanal cliente</t>
  </si>
  <si>
    <t>Revisión calendario</t>
  </si>
  <si>
    <t>Coordinación dev + diseño</t>
  </si>
  <si>
    <t>Revisión entregas</t>
  </si>
  <si>
    <t>Contenidos + linkbuilding</t>
  </si>
  <si>
    <t>Copy landing pages</t>
  </si>
  <si>
    <t>Documentar procesos SEO</t>
  </si>
  <si>
    <t>Publicaciones + community</t>
  </si>
  <si>
    <t>Tono de voz y guidelines</t>
  </si>
  <si>
    <t>Herramientas scheduling</t>
  </si>
  <si>
    <t>Desarrollo frontend sprint 3</t>
  </si>
  <si>
    <t>Documentar componentes</t>
  </si>
  <si>
    <t>Dirección de cuenta</t>
  </si>
  <si>
    <t>Revisión estratégica</t>
  </si>
  <si>
    <t>Dirección creativa</t>
  </si>
  <si>
    <t>Onboarding Pablo</t>
  </si>
  <si>
    <t>Diseño posts redes</t>
  </si>
  <si>
    <t>Mockups bajo supervisión</t>
  </si>
  <si>
    <t>Formación design system</t>
  </si>
  <si>
    <t>S13 (24-28 mar)</t>
  </si>
  <si>
    <t>Reporting mensual Q1</t>
  </si>
  <si>
    <t>Implementar auditoría</t>
  </si>
  <si>
    <t>Campaña lanzamiento web</t>
  </si>
  <si>
    <t>Ajustes creatividades</t>
  </si>
  <si>
    <t>Entrega identidad visual</t>
  </si>
  <si>
    <t>Diseño páginas internas</t>
  </si>
  <si>
    <t>Cierre reporting marzo</t>
  </si>
  <si>
    <t>Coordinación lanzamiento</t>
  </si>
  <si>
    <t>Seguimiento mensual</t>
  </si>
  <si>
    <t>Redacción contenidos abril</t>
  </si>
  <si>
    <t>Textos web + SEO on-page</t>
  </si>
  <si>
    <t>Sesión equipo IA + SEO</t>
  </si>
  <si>
    <t>Calendario abril + programación</t>
  </si>
  <si>
    <t>Lanzamiento tono de voz</t>
  </si>
  <si>
    <t>Social para lanzamiento web</t>
  </si>
  <si>
    <t>Sprint 4 — bug fixing + deploy</t>
  </si>
  <si>
    <t>Code review Pablo</t>
  </si>
  <si>
    <t>Revisión resultados Q1</t>
  </si>
  <si>
    <t>Go-live coordinación</t>
  </si>
  <si>
    <t>Presentación cliente</t>
  </si>
  <si>
    <t>Onboarding Pablo (cierre)</t>
  </si>
  <si>
    <t>Diseño stories + reels</t>
  </si>
  <si>
    <t>Aplicaciones marca</t>
  </si>
  <si>
    <t>Práctica Figma</t>
  </si>
  <si>
    <t>📋 Una fila por bloque persona + proyecto + semana. Usa los desplegables para evitar errores. Las filas vacías de abajo tienen los desplegables listos.</t>
  </si>
  <si>
    <t>Departamento</t>
  </si>
  <si>
    <t>Cap. neta (h)</t>
  </si>
  <si>
    <t>H. asignadas</t>
  </si>
  <si>
    <t>H. libres</t>
  </si>
  <si>
    <t>Utilización</t>
  </si>
  <si>
    <t>Estado</t>
  </si>
  <si>
    <t>Coste sem. (€)</t>
  </si>
  <si>
    <t>Nº proyectos</t>
  </si>
  <si>
    <t>TOTALES / MEDIA</t>
  </si>
  <si>
    <t>📊 KPIs DE LA SEMANA</t>
  </si>
  <si>
    <t>Utilización media del equipo</t>
  </si>
  <si>
    <t>Personas en riesgo o sobrecarga</t>
  </si>
  <si>
    <t>Horas libres totales del equipo</t>
  </si>
  <si>
    <t>Coste semanal total del equipo</t>
  </si>
  <si>
    <t>Impuesto Excel estimado (4h PM/sem)</t>
  </si>
  <si>
    <t>Impuesto Excel anual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</si>
</sst>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€"/>
  </numFmts>
  <fonts count="10" x14ac:knownFonts="1">
    <font>
      <color theme="1"/>
      <family val="2"/>
      <scheme val="minor"/>
      <sz val="11"/>
      <name val="Calibri"/>
    </font>
    <font>
      <b/>
      <color rgb="4338CA"/>
      <sz val="16"/>
      <name val="Calibri"/>
    </font>
    <font>
      <color rgb="334155"/>
      <sz val="11"/>
      <name val="Calibri"/>
    </font>
    <font>
      <b/>
      <color rgb="4338CA"/>
      <sz val="12"/>
      <name val="Calibri"/>
    </font>
    <font>
      <b/>
      <color rgb="FFFFFF"/>
      <sz val="11"/>
      <name val="Calibri"/>
    </font>
    <font>
      <b/>
      <color rgb="334155"/>
      <sz val="11"/>
      <name val="Calibri"/>
    </font>
    <font>
      <i/>
      <color rgb="64748B"/>
      <sz val="10"/>
      <name val="Calibri"/>
    </font>
    <font>
      <b/>
      <color rgb="4338CA"/>
      <sz val="13"/>
      <name val="Calibri"/>
    </font>
    <font>
      <b/>
      <color rgb="334155"/>
      <sz val="14"/>
      <name val="Calibri"/>
    </font>
    <font>
      <b/>
      <color rgb="E11D48"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4338CA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E0E7FF"/>
      </patternFill>
    </fill>
    <fill>
      <patternFill patternType="solid">
        <fgColor rgb="059669"/>
      </patternFill>
    </fill>
    <fill>
      <patternFill patternType="solid">
        <fgColor rgb="D1FAE5"/>
      </patternFill>
    </fill>
    <fill>
      <patternFill patternType="solid">
        <fgColor rgb="D97706"/>
      </patternFill>
    </fill>
    <fill>
      <patternFill patternType="solid">
        <fgColor rgb="7C3AED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vertical="center"/>
      <protection locked="0"/>
    </xf>
    <xf numFmtId="1" fontId="2" fillId="3" borderId="1" xfId="0" applyNumberFormat="1" applyFont="1" applyFill="1" applyBorder="1" applyAlignment="1" applyProtection="1">
      <alignment vertical="center"/>
    </xf>
    <xf numFmtId="164" fontId="2" fillId="3" borderId="1" xfId="0" applyNumberFormat="1" applyFont="1" applyFill="1" applyBorder="1" applyAlignment="1" applyProtection="1">
      <alignment vertical="center"/>
      <protection locked="0"/>
    </xf>
    <xf numFmtId="0" fontId="2" fillId="4" borderId="1" xfId="0" applyFont="1" applyFill="1" applyBorder="1" applyAlignment="1" applyProtection="1">
      <alignment vertical="center"/>
      <protection locked="0"/>
    </xf>
    <xf numFmtId="1" fontId="2" fillId="4" borderId="1" xfId="0" applyNumberFormat="1" applyFont="1" applyFill="1" applyBorder="1" applyAlignment="1" applyProtection="1">
      <alignment vertical="center"/>
    </xf>
    <xf numFmtId="164" fontId="2" fillId="4" borderId="1" xfId="0" applyNumberFormat="1" applyFont="1" applyFill="1" applyBorder="1" applyAlignment="1" applyProtection="1">
      <alignment vertical="center"/>
      <protection locked="0"/>
    </xf>
    <xf numFmtId="0" fontId="5" fillId="5" borderId="1" xfId="0" applyFont="1" applyFill="1" applyBorder="1"/>
    <xf numFmtId="0" fontId="5" fillId="5" borderId="1" xfId="0" applyFont="1" applyFill="1" applyBorder="1" applyProtection="1"/>
    <xf numFmtId="0" fontId="6" fillId="0" borderId="0" xfId="0" applyFont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vertical="center"/>
    </xf>
    <xf numFmtId="9" fontId="2" fillId="3" borderId="1" xfId="0" applyNumberFormat="1" applyFont="1" applyFill="1" applyBorder="1" applyAlignment="1" applyProtection="1">
      <alignment vertical="center"/>
    </xf>
    <xf numFmtId="164" fontId="2" fillId="3" borderId="1" xfId="0" applyNumberFormat="1" applyFont="1" applyFill="1" applyBorder="1" applyAlignment="1" applyProtection="1">
      <alignment vertical="center"/>
    </xf>
    <xf numFmtId="0" fontId="2" fillId="4" borderId="1" xfId="0" applyFont="1" applyFill="1" applyBorder="1" applyAlignment="1" applyProtection="1">
      <alignment vertical="center"/>
    </xf>
    <xf numFmtId="9" fontId="2" fillId="4" borderId="1" xfId="0" applyNumberFormat="1" applyFont="1" applyFill="1" applyBorder="1" applyAlignment="1" applyProtection="1">
      <alignment vertical="center"/>
    </xf>
    <xf numFmtId="164" fontId="2" fillId="4" borderId="1" xfId="0" applyNumberFormat="1" applyFont="1" applyFill="1" applyBorder="1" applyAlignment="1" applyProtection="1">
      <alignment vertical="center"/>
    </xf>
    <xf numFmtId="0" fontId="5" fillId="7" borderId="1" xfId="0" applyFont="1" applyFill="1" applyBorder="1"/>
    <xf numFmtId="164" fontId="5" fillId="7" borderId="1" xfId="0" applyNumberFormat="1" applyFont="1" applyFill="1" applyBorder="1" applyProtection="1"/>
    <xf numFmtId="0" fontId="5" fillId="7" borderId="1" xfId="0" applyFont="1" applyFill="1" applyBorder="1" applyProtection="1"/>
    <xf numFmtId="0" fontId="4" fillId="8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4" fillId="9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Protection="1"/>
    <xf numFmtId="164" fontId="5" fillId="5" borderId="1" xfId="0" applyNumberFormat="1" applyFont="1" applyFill="1" applyBorder="1" applyProtection="1"/>
    <xf numFmtId="0" fontId="7" fillId="0" borderId="0" xfId="0" applyFont="1"/>
    <xf numFmtId="9" fontId="8" fillId="0" borderId="0" xfId="0" applyNumberFormat="1" applyFont="1" applyProtection="1"/>
    <xf numFmtId="1" fontId="8" fillId="0" borderId="0" xfId="0" applyNumberFormat="1" applyFont="1" applyProtection="1"/>
    <xf numFmtId="164" fontId="8" fillId="0" borderId="0" xfId="0" applyNumberFormat="1" applyFont="1" applyProtection="1"/>
    <xf numFmtId="164" fontId="9" fillId="0" borderId="0" xfId="0" applyNumberFormat="1" applyFont="1" applyProtection="1"/>
  </cellXfs>
  <cellStyles count="1">
    <cellStyle name="Normal" xfId="0" builtinId="0"/>
  </cellStyles>
  <dxfs count="6">
    <dxf>
      <font>
        <b/>
        <color rgb="E11D48"/>
      </font>
      <fill>
        <patternFill patternType="solid">
          <fgColor rgb="FFE4E6"/>
        </patternFill>
      </fill>
    </dxf>
    <dxf>
      <font>
        <b/>
        <color rgb="E11D48"/>
      </font>
      <fill>
        <patternFill patternType="solid">
          <fgColor rgb="FFE4E6"/>
        </patternFill>
      </fill>
    </dxf>
    <dxf>
      <font>
        <b/>
        <color rgb="D97706"/>
      </font>
      <fill>
        <patternFill patternType="solid">
          <fgColor rgb="FEF3C7"/>
        </patternFill>
      </fill>
    </dxf>
    <dxf>
      <font>
        <b/>
        <color rgb="E11D48"/>
      </font>
      <fill>
        <patternFill patternType="solid">
          <fgColor rgb="FFE4E6"/>
        </patternFill>
      </fill>
    </dxf>
    <dxf>
      <font>
        <b/>
        <color rgb="D97706"/>
      </font>
      <fill>
        <patternFill patternType="solid">
          <fgColor rgb="FEF3C7"/>
        </patternFill>
      </fill>
    </dxf>
    <dxf>
      <font>
        <color rgb="059669"/>
      </font>
      <fill>
        <patternFill patternType="solid">
          <fgColor rgb="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338CA"/>
  </sheetPr>
  <dimension ref="A1:A43"/>
  <sheetFormatPr defaultRowHeight="15" outlineLevelRow="0" outlineLevelCol="0" x14ac:dyDescent="55"/>
  <cols>
    <col min="1" max="1" width="90" customWidth="1"/>
  </cols>
  <sheetData>
    <row r="1" ht="36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</v>
      </c>
    </row>
    <row r="7" spans="1:1" x14ac:dyDescent="0.25">
      <c r="A7" s="3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</v>
      </c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</v>
      </c>
    </row>
    <row r="19" spans="1:1" x14ac:dyDescent="0.25">
      <c r="A19" s="3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1</v>
      </c>
    </row>
    <row r="25" spans="1:1" x14ac:dyDescent="0.25">
      <c r="A25" s="3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1</v>
      </c>
    </row>
    <row r="31" spans="1:1" x14ac:dyDescent="0.25">
      <c r="A31" s="3" t="s">
        <v>25</v>
      </c>
    </row>
    <row r="32" spans="1:1" x14ac:dyDescent="0.25">
      <c r="A32" s="2" t="s">
        <v>26</v>
      </c>
    </row>
    <row r="33" spans="1:1" x14ac:dyDescent="0.25">
      <c r="A33" s="2" t="s">
        <v>27</v>
      </c>
    </row>
    <row r="34" spans="1:1" x14ac:dyDescent="0.25">
      <c r="A34" s="2" t="s">
        <v>28</v>
      </c>
    </row>
    <row r="35" spans="1:1" x14ac:dyDescent="0.25">
      <c r="A35" s="2" t="s">
        <v>1</v>
      </c>
    </row>
    <row r="36" spans="1:1" x14ac:dyDescent="0.25">
      <c r="A36" s="3" t="s">
        <v>29</v>
      </c>
    </row>
    <row r="37" spans="1:1" x14ac:dyDescent="0.25">
      <c r="A37" s="2" t="s">
        <v>30</v>
      </c>
    </row>
    <row r="38" spans="1:1" x14ac:dyDescent="0.25">
      <c r="A38" s="2" t="s">
        <v>31</v>
      </c>
    </row>
    <row r="39" spans="1:1" x14ac:dyDescent="0.25">
      <c r="A39" s="2" t="s">
        <v>32</v>
      </c>
    </row>
    <row r="40" spans="1:1" x14ac:dyDescent="0.25">
      <c r="A40" s="2" t="s">
        <v>1</v>
      </c>
    </row>
    <row r="41" spans="1:1" x14ac:dyDescent="0.25">
      <c r="A41" s="3" t="s">
        <v>33</v>
      </c>
    </row>
    <row r="42" spans="1:1" x14ac:dyDescent="0.25">
      <c r="A42" s="2" t="s">
        <v>34</v>
      </c>
    </row>
    <row r="43" spans="1:1" x14ac:dyDescent="0.25">
      <c r="A43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338CA"/>
    <pageSetUpPr fitToPage="1"/>
  </sheetPr>
  <dimension ref="A1:H1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22" customWidth="1"/>
    <col min="3" max="4" width="16" customWidth="1"/>
    <col min="5" max="7" width="20" customWidth="1"/>
    <col min="8" max="8" width="16" customWidth="1"/>
  </cols>
  <sheetData>
    <row r="1" ht="30" customHeight="1" spans="1:8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</row>
    <row r="2" ht="22" customHeight="1" spans="1:8" x14ac:dyDescent="0.25">
      <c r="A2" s="5" t="s">
        <v>44</v>
      </c>
      <c r="B2" s="5" t="s">
        <v>45</v>
      </c>
      <c r="C2" s="5">
        <v>40</v>
      </c>
      <c r="D2" s="5">
        <v>6</v>
      </c>
      <c r="E2" s="5">
        <v>2</v>
      </c>
      <c r="F2" s="5">
        <v>0</v>
      </c>
      <c r="G2" s="6">
        <f>C2-D2-E2-F2</f>
      </c>
      <c r="H2" s="7">
        <v>35</v>
      </c>
    </row>
    <row r="3" ht="22" customHeight="1" spans="1:8" x14ac:dyDescent="0.25">
      <c r="A3" s="8" t="s">
        <v>46</v>
      </c>
      <c r="B3" s="8" t="s">
        <v>47</v>
      </c>
      <c r="C3" s="8">
        <v>40</v>
      </c>
      <c r="D3" s="8">
        <v>4</v>
      </c>
      <c r="E3" s="8">
        <v>2</v>
      </c>
      <c r="F3" s="8">
        <v>0</v>
      </c>
      <c r="G3" s="9">
        <f>C3-D3-E3-F3</f>
      </c>
      <c r="H3" s="10">
        <v>30</v>
      </c>
    </row>
    <row r="4" ht="22" customHeight="1" spans="1:8" x14ac:dyDescent="0.25">
      <c r="A4" s="5" t="s">
        <v>48</v>
      </c>
      <c r="B4" s="5" t="s">
        <v>49</v>
      </c>
      <c r="C4" s="5">
        <v>40</v>
      </c>
      <c r="D4" s="5">
        <v>8</v>
      </c>
      <c r="E4" s="5">
        <v>3</v>
      </c>
      <c r="F4" s="5">
        <v>0</v>
      </c>
      <c r="G4" s="6">
        <f>C4-D4-E4-F4</f>
      </c>
      <c r="H4" s="7">
        <v>40</v>
      </c>
    </row>
    <row r="5" ht="22" customHeight="1" spans="1:8" x14ac:dyDescent="0.25">
      <c r="A5" s="8" t="s">
        <v>50</v>
      </c>
      <c r="B5" s="8" t="s">
        <v>51</v>
      </c>
      <c r="C5" s="8">
        <v>40</v>
      </c>
      <c r="D5" s="8">
        <v>5</v>
      </c>
      <c r="E5" s="8">
        <v>2</v>
      </c>
      <c r="F5" s="8">
        <v>0</v>
      </c>
      <c r="G5" s="9">
        <f>C5-D5-E5-F5</f>
      </c>
      <c r="H5" s="10">
        <v>32</v>
      </c>
    </row>
    <row r="6" ht="22" customHeight="1" spans="1:8" x14ac:dyDescent="0.25">
      <c r="A6" s="5" t="s">
        <v>52</v>
      </c>
      <c r="B6" s="5" t="s">
        <v>53</v>
      </c>
      <c r="C6" s="5">
        <v>40</v>
      </c>
      <c r="D6" s="5">
        <v>4</v>
      </c>
      <c r="E6" s="5">
        <v>2</v>
      </c>
      <c r="F6" s="5">
        <v>0</v>
      </c>
      <c r="G6" s="6">
        <f>C6-D6-E6-F6</f>
      </c>
      <c r="H6" s="7">
        <v>28</v>
      </c>
    </row>
    <row r="7" ht="22" customHeight="1" spans="1:8" x14ac:dyDescent="0.25">
      <c r="A7" s="8" t="s">
        <v>54</v>
      </c>
      <c r="B7" s="8" t="s">
        <v>55</v>
      </c>
      <c r="C7" s="8">
        <v>40</v>
      </c>
      <c r="D7" s="8">
        <v>3</v>
      </c>
      <c r="E7" s="8">
        <v>1</v>
      </c>
      <c r="F7" s="8">
        <v>0</v>
      </c>
      <c r="G7" s="9">
        <f>C7-D7-E7-F7</f>
      </c>
      <c r="H7" s="10">
        <v>45</v>
      </c>
    </row>
    <row r="8" ht="22" customHeight="1" spans="1:8" x14ac:dyDescent="0.25">
      <c r="A8" s="5" t="s">
        <v>56</v>
      </c>
      <c r="B8" s="5" t="s">
        <v>57</v>
      </c>
      <c r="C8" s="5">
        <v>40</v>
      </c>
      <c r="D8" s="5">
        <v>10</v>
      </c>
      <c r="E8" s="5">
        <v>4</v>
      </c>
      <c r="F8" s="5">
        <v>0</v>
      </c>
      <c r="G8" s="6">
        <f>C8-D8-E8-F8</f>
      </c>
      <c r="H8" s="7">
        <v>55</v>
      </c>
    </row>
    <row r="9" ht="22" customHeight="1" spans="1:8" x14ac:dyDescent="0.25">
      <c r="A9" s="8" t="s">
        <v>58</v>
      </c>
      <c r="B9" s="8" t="s">
        <v>59</v>
      </c>
      <c r="C9" s="8">
        <v>32</v>
      </c>
      <c r="D9" s="8">
        <v>3</v>
      </c>
      <c r="E9" s="8">
        <v>2</v>
      </c>
      <c r="F9" s="8">
        <v>0</v>
      </c>
      <c r="G9" s="9">
        <f>C9-D9-E9-F9</f>
      </c>
      <c r="H9" s="10">
        <v>22</v>
      </c>
    </row>
    <row r="10" ht="22" customHeight="1" spans="1:8" x14ac:dyDescent="0.25">
      <c r="A10" s="5" t="s">
        <v>60</v>
      </c>
      <c r="B10" s="5" t="s">
        <v>61</v>
      </c>
      <c r="C10" s="5">
        <v>40</v>
      </c>
      <c r="D10" s="5">
        <v>0</v>
      </c>
      <c r="E10" s="5">
        <v>0</v>
      </c>
      <c r="F10" s="5">
        <v>0</v>
      </c>
      <c r="G10" s="6">
        <f>C10-D10-E10-F10</f>
      </c>
      <c r="H10" s="7">
        <v>0</v>
      </c>
    </row>
    <row r="11" ht="22" customHeight="1" spans="1:8" x14ac:dyDescent="0.25">
      <c r="A11" s="8" t="s">
        <v>60</v>
      </c>
      <c r="B11" s="8" t="s">
        <v>61</v>
      </c>
      <c r="C11" s="8">
        <v>40</v>
      </c>
      <c r="D11" s="8">
        <v>0</v>
      </c>
      <c r="E11" s="8">
        <v>0</v>
      </c>
      <c r="F11" s="8">
        <v>0</v>
      </c>
      <c r="G11" s="9">
        <f>C11-D11-E11-F11</f>
      </c>
      <c r="H11" s="10">
        <v>0</v>
      </c>
    </row>
    <row r="12" spans="1:7" x14ac:dyDescent="0.25">
      <c r="A12" s="11" t="s">
        <v>62</v>
      </c>
      <c r="C12" s="12">
        <f>SUM(C2:C11)</f>
      </c>
      <c r="D12" s="12">
        <f>SUM(D2:D11)</f>
      </c>
      <c r="E12" s="12">
        <f>SUM(E2:E11)</f>
      </c>
      <c r="F12" s="12">
        <f>SUM(F2:F11)</f>
      </c>
      <c r="G12" s="12">
        <f>SUM(G2:G11)</f>
      </c>
    </row>
    <row r="14" spans="1:8" x14ac:dyDescent="0.25">
      <c r="A14" s="13" t="s">
        <v>63</v>
      </c>
      <c r="B14" s="13"/>
      <c r="C14" s="13"/>
      <c r="D14" s="13"/>
      <c r="E14" s="13"/>
      <c r="F14" s="13"/>
      <c r="G14" s="13"/>
      <c r="H14" s="13"/>
    </row>
  </sheetData>
  <sheetProtection sheet="1" formatColumns="0" formatRows="0" insertRows="0" sort="0" autoFilter="0"/>
  <autoFilter ref="A1:H1"/>
  <mergeCells count="1">
    <mergeCell ref="A14:H1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  <pageSetUpPr fitToPage="1"/>
  </sheetPr>
  <dimension ref="A1:H1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8" customWidth="1"/>
    <col min="4" max="4" width="20" customWidth="1"/>
    <col min="5" max="5" width="22" customWidth="1"/>
    <col min="6" max="6" width="18" customWidth="1"/>
    <col min="7" max="7" width="22" customWidth="1"/>
    <col min="8" max="8" width="24" customWidth="1"/>
  </cols>
  <sheetData>
    <row r="1" ht="30" customHeight="1" spans="1:8" x14ac:dyDescent="0.25">
      <c r="A1" s="14" t="s">
        <v>64</v>
      </c>
      <c r="B1" s="14" t="s">
        <v>65</v>
      </c>
      <c r="C1" s="14" t="s">
        <v>66</v>
      </c>
      <c r="D1" s="14" t="s">
        <v>67</v>
      </c>
      <c r="E1" s="14" t="s">
        <v>68</v>
      </c>
      <c r="F1" s="14" t="s">
        <v>69</v>
      </c>
      <c r="G1" s="14" t="s">
        <v>70</v>
      </c>
      <c r="H1" s="14" t="s">
        <v>71</v>
      </c>
    </row>
    <row r="2" ht="22" customHeight="1" spans="1:8" x14ac:dyDescent="0.25">
      <c r="A2" s="5" t="s">
        <v>72</v>
      </c>
      <c r="B2" s="5" t="s">
        <v>73</v>
      </c>
      <c r="C2" s="7">
        <v>4500</v>
      </c>
      <c r="D2" s="5">
        <v>60</v>
      </c>
      <c r="E2" s="15">
        <f>SUMIF(Asignacion!B:B,A2,Asignacion!D:D)</f>
      </c>
      <c r="F2" s="16">
        <f>IFERROR(E2/(D2/4),0)</f>
      </c>
      <c r="G2" s="17">
        <f>IFERROR(SUMPRODUCT((Asignacion!B$2:B$200=A2)*Asignacion!D$2:D$200*VLOOKUP(Asignacion!A$2:A$200,Equipo!A:H,8,FALSE)),0)</f>
      </c>
      <c r="H2" s="17">
        <f>C2-(G2*4)</f>
      </c>
    </row>
    <row r="3" ht="22" customHeight="1" spans="1:8" x14ac:dyDescent="0.25">
      <c r="A3" s="8" t="s">
        <v>74</v>
      </c>
      <c r="B3" s="8" t="s">
        <v>73</v>
      </c>
      <c r="C3" s="10">
        <v>2000</v>
      </c>
      <c r="D3" s="8">
        <v>30</v>
      </c>
      <c r="E3" s="18">
        <f>SUMIF(Asignacion!B:B,A3,Asignacion!D:D)</f>
      </c>
      <c r="F3" s="19">
        <f>IFERROR(E3/(D3/4),0)</f>
      </c>
      <c r="G3" s="20">
        <f>IFERROR(SUMPRODUCT((Asignacion!B$2:B$200=A3)*Asignacion!D$2:D$200*VLOOKUP(Asignacion!A$2:A$200,Equipo!A:H,8,FALSE)),0)</f>
      </c>
      <c r="H3" s="20">
        <f>C3-(G3*4)</f>
      </c>
    </row>
    <row r="4" ht="22" customHeight="1" spans="1:8" x14ac:dyDescent="0.25">
      <c r="A4" s="5" t="s">
        <v>75</v>
      </c>
      <c r="B4" s="5" t="s">
        <v>76</v>
      </c>
      <c r="C4" s="7">
        <v>8000</v>
      </c>
      <c r="D4" s="5">
        <v>100</v>
      </c>
      <c r="E4" s="15">
        <f>SUMIF(Asignacion!B:B,A4,Asignacion!D:D)</f>
      </c>
      <c r="F4" s="16">
        <f>IFERROR(E4/(D4/4),0)</f>
      </c>
      <c r="G4" s="17">
        <f>IFERROR(SUMPRODUCT((Asignacion!B$2:B$200=A4)*Asignacion!D$2:D$200*VLOOKUP(Asignacion!A$2:A$200,Equipo!A:H,8,FALSE)),0)</f>
      </c>
      <c r="H4" s="17">
        <f>C4-(G4*4)</f>
      </c>
    </row>
    <row r="5" ht="22" customHeight="1" spans="1:8" x14ac:dyDescent="0.25">
      <c r="A5" s="8" t="s">
        <v>77</v>
      </c>
      <c r="B5" s="8" t="s">
        <v>73</v>
      </c>
      <c r="C5" s="10">
        <v>3000</v>
      </c>
      <c r="D5" s="8">
        <v>45</v>
      </c>
      <c r="E5" s="18">
        <f>SUMIF(Asignacion!B:B,A5,Asignacion!D:D)</f>
      </c>
      <c r="F5" s="19">
        <f>IFERROR(E5/(D5/4),0)</f>
      </c>
      <c r="G5" s="20">
        <f>IFERROR(SUMPRODUCT((Asignacion!B$2:B$200=A5)*Asignacion!D$2:D$200*VLOOKUP(Asignacion!A$2:A$200,Equipo!A:H,8,FALSE)),0)</f>
      </c>
      <c r="H5" s="20">
        <f>C5-(G5*4)</f>
      </c>
    </row>
    <row r="6" ht="22" customHeight="1" spans="1:8" x14ac:dyDescent="0.25">
      <c r="A6" s="5" t="s">
        <v>78</v>
      </c>
      <c r="B6" s="5" t="s">
        <v>76</v>
      </c>
      <c r="C6" s="7">
        <v>6000</v>
      </c>
      <c r="D6" s="5">
        <v>80</v>
      </c>
      <c r="E6" s="15">
        <f>SUMIF(Asignacion!B:B,A6,Asignacion!D:D)</f>
      </c>
      <c r="F6" s="16">
        <f>IFERROR(E6/(D6/4),0)</f>
      </c>
      <c r="G6" s="17">
        <f>IFERROR(SUMPRODUCT((Asignacion!B$2:B$200=A6)*Asignacion!D$2:D$200*VLOOKUP(Asignacion!A$2:A$200,Equipo!A:H,8,FALSE)),0)</f>
      </c>
      <c r="H6" s="17">
        <f>C6-(G6*4)</f>
      </c>
    </row>
    <row r="7" ht="22" customHeight="1" spans="1:8" x14ac:dyDescent="0.25">
      <c r="A7" s="8" t="s">
        <v>79</v>
      </c>
      <c r="B7" s="8" t="s">
        <v>80</v>
      </c>
      <c r="C7" s="10">
        <v>0</v>
      </c>
      <c r="D7" s="8">
        <v>20</v>
      </c>
      <c r="E7" s="18">
        <f>SUMIF(Asignacion!B:B,A7,Asignacion!D:D)</f>
      </c>
      <c r="F7" s="19">
        <f>IFERROR(E7/(D7/4),0)</f>
      </c>
      <c r="G7" s="20">
        <f>IFERROR(SUMPRODUCT((Asignacion!B$2:B$200=A7)*Asignacion!D$2:D$200*VLOOKUP(Asignacion!A$2:A$200,Equipo!A:H,8,FALSE)),0)</f>
      </c>
      <c r="H7" s="20">
        <f>C7-(G7*4)</f>
      </c>
    </row>
    <row r="8" ht="22" customHeight="1" spans="1:8" x14ac:dyDescent="0.25">
      <c r="A8" s="5" t="s">
        <v>81</v>
      </c>
      <c r="B8" s="5" t="s">
        <v>82</v>
      </c>
      <c r="C8" s="7">
        <v>0</v>
      </c>
      <c r="D8" s="5">
        <v>0</v>
      </c>
      <c r="E8" s="15">
        <f>SUMIF(Asignacion!B:B,A8,Asignacion!D:D)</f>
      </c>
      <c r="F8" s="16">
        <f>IFERROR(E8/(D8/4),0)</f>
      </c>
      <c r="G8" s="17">
        <f>IFERROR(SUMPRODUCT((Asignacion!B$2:B$200=A8)*Asignacion!D$2:D$200*VLOOKUP(Asignacion!A$2:A$200,Equipo!A:H,8,FALSE)),0)</f>
      </c>
      <c r="H8" s="17">
        <f>C8-(G8*4)</f>
      </c>
    </row>
    <row r="9" ht="22" customHeight="1" spans="1:8" x14ac:dyDescent="0.25">
      <c r="A9" s="8" t="s">
        <v>81</v>
      </c>
      <c r="B9" s="8" t="s">
        <v>82</v>
      </c>
      <c r="C9" s="10">
        <v>0</v>
      </c>
      <c r="D9" s="8">
        <v>0</v>
      </c>
      <c r="E9" s="18">
        <f>SUMIF(Asignacion!B:B,A9,Asignacion!D:D)</f>
      </c>
      <c r="F9" s="19">
        <f>IFERROR(E9/(D9/4),0)</f>
      </c>
      <c r="G9" s="20">
        <f>IFERROR(SUMPRODUCT((Asignacion!B$2:B$200=A9)*Asignacion!D$2:D$200*VLOOKUP(Asignacion!A$2:A$200,Equipo!A:H,8,FALSE)),0)</f>
      </c>
      <c r="H9" s="20">
        <f>C9-(G9*4)</f>
      </c>
    </row>
    <row r="10" spans="1:8" x14ac:dyDescent="0.25">
      <c r="A10" s="21" t="s">
        <v>62</v>
      </c>
      <c r="C10" s="22">
        <f>SUM(C2:C9)</f>
      </c>
      <c r="D10" s="23">
        <f>SUM(D2:D9)</f>
      </c>
      <c r="E10" s="23">
        <f>SUM(E2:E9)</f>
      </c>
      <c r="G10" s="22">
        <f>SUM(G2:G9)</f>
      </c>
      <c r="H10" s="22">
        <f>SUM(H2:H9)</f>
      </c>
    </row>
    <row r="12" spans="1:8" x14ac:dyDescent="0.25">
      <c r="A12" s="13" t="s">
        <v>83</v>
      </c>
      <c r="B12" s="13"/>
      <c r="C12" s="13"/>
      <c r="D12" s="13"/>
      <c r="E12" s="13"/>
      <c r="F12" s="13"/>
      <c r="G12" s="13"/>
      <c r="H12" s="13"/>
    </row>
  </sheetData>
  <sheetProtection sheet="1" formatColumns="0" formatRows="0" insertRows="0" sort="0" autoFilter="0"/>
  <autoFilter ref="A1:H1"/>
  <mergeCells count="1">
    <mergeCell ref="A12:H12"/>
  </mergeCells>
  <conditionalFormatting sqref="H2:H9">
    <cfRule type="cellIs" dxfId="0" priority="1" operator="lessThan">
      <formula>0</formula>
    </cfRule>
  </conditionalFormatting>
  <conditionalFormatting sqref="F2:F9">
    <cfRule type="cellIs" dxfId="1" priority="2" operator="greaterThan">
      <formula>1.2</formula>
    </cfRule>
    <cfRule type="cellIs" dxfId="2" priority="3" operator="greaterThan">
      <formula>1</formula>
    </cfRule>
  </conditionalFormatting>
  <dataValidations count="1">
    <dataValidation type="list" allowBlank="1" showErrorMessage="1" errorTitle="Tipo inválido" error="Usa: Retainer, Proyecto o Interno" sqref="B2:B9">
      <formula1>"Retainer,Proyecto,Interno"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  <pageSetUpPr fitToPage="1"/>
  </sheetPr>
  <dimension ref="A1:E71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20" customWidth="1"/>
    <col min="4" max="4" width="16" customWidth="1"/>
    <col min="5" max="5" width="36" customWidth="1"/>
  </cols>
  <sheetData>
    <row r="1" ht="30" customHeight="1" spans="1:5" x14ac:dyDescent="0.25">
      <c r="A1" s="24" t="s">
        <v>36</v>
      </c>
      <c r="B1" s="24" t="s">
        <v>64</v>
      </c>
      <c r="C1" s="24" t="s">
        <v>84</v>
      </c>
      <c r="D1" s="24" t="s">
        <v>85</v>
      </c>
      <c r="E1" s="24" t="s">
        <v>86</v>
      </c>
    </row>
    <row r="2" ht="22" customHeight="1" spans="1:5" x14ac:dyDescent="0.25">
      <c r="A2" s="5" t="s">
        <v>44</v>
      </c>
      <c r="B2" s="5" t="s">
        <v>72</v>
      </c>
      <c r="C2" s="5" t="s">
        <v>87</v>
      </c>
      <c r="D2" s="5">
        <v>16</v>
      </c>
      <c r="E2" s="5" t="s">
        <v>88</v>
      </c>
    </row>
    <row r="3" ht="22" customHeight="1" spans="1:5" x14ac:dyDescent="0.25">
      <c r="A3" s="8" t="s">
        <v>44</v>
      </c>
      <c r="B3" s="8" t="s">
        <v>77</v>
      </c>
      <c r="C3" s="8" t="s">
        <v>87</v>
      </c>
      <c r="D3" s="8">
        <v>8</v>
      </c>
      <c r="E3" s="8" t="s">
        <v>89</v>
      </c>
    </row>
    <row r="4" ht="22" customHeight="1" spans="1:5" x14ac:dyDescent="0.25">
      <c r="A4" s="5" t="s">
        <v>44</v>
      </c>
      <c r="B4" s="5" t="s">
        <v>78</v>
      </c>
      <c r="C4" s="5" t="s">
        <v>87</v>
      </c>
      <c r="D4" s="5">
        <v>6</v>
      </c>
      <c r="E4" s="5" t="s">
        <v>90</v>
      </c>
    </row>
    <row r="5" ht="22" customHeight="1" spans="1:5" x14ac:dyDescent="0.25">
      <c r="A5" s="8" t="s">
        <v>46</v>
      </c>
      <c r="B5" s="8" t="s">
        <v>74</v>
      </c>
      <c r="C5" s="8" t="s">
        <v>87</v>
      </c>
      <c r="D5" s="8">
        <v>12</v>
      </c>
      <c r="E5" s="8" t="s">
        <v>91</v>
      </c>
    </row>
    <row r="6" ht="22" customHeight="1" spans="1:5" x14ac:dyDescent="0.25">
      <c r="A6" s="5" t="s">
        <v>46</v>
      </c>
      <c r="B6" s="5" t="s">
        <v>78</v>
      </c>
      <c r="C6" s="5" t="s">
        <v>87</v>
      </c>
      <c r="D6" s="5">
        <v>14</v>
      </c>
      <c r="E6" s="5" t="s">
        <v>92</v>
      </c>
    </row>
    <row r="7" ht="22" customHeight="1" spans="1:5" x14ac:dyDescent="0.25">
      <c r="A7" s="8" t="s">
        <v>46</v>
      </c>
      <c r="B7" s="8" t="s">
        <v>75</v>
      </c>
      <c r="C7" s="8" t="s">
        <v>87</v>
      </c>
      <c r="D7" s="8">
        <v>6</v>
      </c>
      <c r="E7" s="8" t="s">
        <v>93</v>
      </c>
    </row>
    <row r="8" ht="22" customHeight="1" spans="1:5" x14ac:dyDescent="0.25">
      <c r="A8" s="5" t="s">
        <v>48</v>
      </c>
      <c r="B8" s="5" t="s">
        <v>72</v>
      </c>
      <c r="C8" s="5" t="s">
        <v>87</v>
      </c>
      <c r="D8" s="5">
        <v>10</v>
      </c>
      <c r="E8" s="5" t="s">
        <v>94</v>
      </c>
    </row>
    <row r="9" ht="22" customHeight="1" spans="1:5" x14ac:dyDescent="0.25">
      <c r="A9" s="8" t="s">
        <v>48</v>
      </c>
      <c r="B9" s="8" t="s">
        <v>74</v>
      </c>
      <c r="C9" s="8" t="s">
        <v>87</v>
      </c>
      <c r="D9" s="8">
        <v>6</v>
      </c>
      <c r="E9" s="8" t="s">
        <v>95</v>
      </c>
    </row>
    <row r="10" ht="22" customHeight="1" spans="1:5" x14ac:dyDescent="0.25">
      <c r="A10" s="5" t="s">
        <v>48</v>
      </c>
      <c r="B10" s="5" t="s">
        <v>75</v>
      </c>
      <c r="C10" s="5" t="s">
        <v>87</v>
      </c>
      <c r="D10" s="5">
        <v>8</v>
      </c>
      <c r="E10" s="5" t="s">
        <v>96</v>
      </c>
    </row>
    <row r="11" ht="22" customHeight="1" spans="1:5" x14ac:dyDescent="0.25">
      <c r="A11" s="8" t="s">
        <v>48</v>
      </c>
      <c r="B11" s="8" t="s">
        <v>77</v>
      </c>
      <c r="C11" s="8" t="s">
        <v>87</v>
      </c>
      <c r="D11" s="8">
        <v>5</v>
      </c>
      <c r="E11" s="8" t="s">
        <v>97</v>
      </c>
    </row>
    <row r="12" ht="22" customHeight="1" spans="1:5" x14ac:dyDescent="0.25">
      <c r="A12" s="5" t="s">
        <v>50</v>
      </c>
      <c r="B12" s="5" t="s">
        <v>77</v>
      </c>
      <c r="C12" s="5" t="s">
        <v>87</v>
      </c>
      <c r="D12" s="5">
        <v>20</v>
      </c>
      <c r="E12" s="5" t="s">
        <v>98</v>
      </c>
    </row>
    <row r="13" ht="22" customHeight="1" spans="1:5" x14ac:dyDescent="0.25">
      <c r="A13" s="8" t="s">
        <v>50</v>
      </c>
      <c r="B13" s="8" t="s">
        <v>72</v>
      </c>
      <c r="C13" s="8" t="s">
        <v>87</v>
      </c>
      <c r="D13" s="8">
        <v>8</v>
      </c>
      <c r="E13" s="8" t="s">
        <v>99</v>
      </c>
    </row>
    <row r="14" ht="22" customHeight="1" spans="1:5" x14ac:dyDescent="0.25">
      <c r="A14" s="5" t="s">
        <v>50</v>
      </c>
      <c r="B14" s="5" t="s">
        <v>79</v>
      </c>
      <c r="C14" s="5" t="s">
        <v>87</v>
      </c>
      <c r="D14" s="5">
        <v>3</v>
      </c>
      <c r="E14" s="5" t="s">
        <v>100</v>
      </c>
    </row>
    <row r="15" ht="22" customHeight="1" spans="1:5" x14ac:dyDescent="0.25">
      <c r="A15" s="8" t="s">
        <v>52</v>
      </c>
      <c r="B15" s="8" t="s">
        <v>74</v>
      </c>
      <c r="C15" s="8" t="s">
        <v>87</v>
      </c>
      <c r="D15" s="8">
        <v>18</v>
      </c>
      <c r="E15" s="8" t="s">
        <v>101</v>
      </c>
    </row>
    <row r="16" ht="22" customHeight="1" spans="1:5" x14ac:dyDescent="0.25">
      <c r="A16" s="5" t="s">
        <v>52</v>
      </c>
      <c r="B16" s="5" t="s">
        <v>78</v>
      </c>
      <c r="C16" s="5" t="s">
        <v>87</v>
      </c>
      <c r="D16" s="5">
        <v>10</v>
      </c>
      <c r="E16" s="5" t="s">
        <v>102</v>
      </c>
    </row>
    <row r="17" ht="22" customHeight="1" spans="1:5" x14ac:dyDescent="0.25">
      <c r="A17" s="8" t="s">
        <v>52</v>
      </c>
      <c r="B17" s="8" t="s">
        <v>79</v>
      </c>
      <c r="C17" s="8" t="s">
        <v>87</v>
      </c>
      <c r="D17" s="8">
        <v>4</v>
      </c>
      <c r="E17" s="8" t="s">
        <v>103</v>
      </c>
    </row>
    <row r="18" ht="22" customHeight="1" spans="1:5" x14ac:dyDescent="0.25">
      <c r="A18" s="5" t="s">
        <v>54</v>
      </c>
      <c r="B18" s="5" t="s">
        <v>75</v>
      </c>
      <c r="C18" s="5" t="s">
        <v>87</v>
      </c>
      <c r="D18" s="5">
        <v>30</v>
      </c>
      <c r="E18" s="5" t="s">
        <v>104</v>
      </c>
    </row>
    <row r="19" ht="22" customHeight="1" spans="1:5" x14ac:dyDescent="0.25">
      <c r="A19" s="8" t="s">
        <v>54</v>
      </c>
      <c r="B19" s="8" t="s">
        <v>79</v>
      </c>
      <c r="C19" s="8" t="s">
        <v>87</v>
      </c>
      <c r="D19" s="8">
        <v>4</v>
      </c>
      <c r="E19" s="8" t="s">
        <v>105</v>
      </c>
    </row>
    <row r="20" ht="22" customHeight="1" spans="1:5" x14ac:dyDescent="0.25">
      <c r="A20" s="5" t="s">
        <v>56</v>
      </c>
      <c r="B20" s="5" t="s">
        <v>72</v>
      </c>
      <c r="C20" s="5" t="s">
        <v>87</v>
      </c>
      <c r="D20" s="5">
        <v>6</v>
      </c>
      <c r="E20" s="5" t="s">
        <v>106</v>
      </c>
    </row>
    <row r="21" ht="22" customHeight="1" spans="1:5" x14ac:dyDescent="0.25">
      <c r="A21" s="8" t="s">
        <v>56</v>
      </c>
      <c r="B21" s="8" t="s">
        <v>75</v>
      </c>
      <c r="C21" s="8" t="s">
        <v>87</v>
      </c>
      <c r="D21" s="8">
        <v>4</v>
      </c>
      <c r="E21" s="8" t="s">
        <v>107</v>
      </c>
    </row>
    <row r="22" ht="22" customHeight="1" spans="1:5" x14ac:dyDescent="0.25">
      <c r="A22" s="5" t="s">
        <v>56</v>
      </c>
      <c r="B22" s="5" t="s">
        <v>78</v>
      </c>
      <c r="C22" s="5" t="s">
        <v>87</v>
      </c>
      <c r="D22" s="5">
        <v>6</v>
      </c>
      <c r="E22" s="5" t="s">
        <v>108</v>
      </c>
    </row>
    <row r="23" ht="22" customHeight="1" spans="1:5" x14ac:dyDescent="0.25">
      <c r="A23" s="8" t="s">
        <v>56</v>
      </c>
      <c r="B23" s="8" t="s">
        <v>79</v>
      </c>
      <c r="C23" s="8" t="s">
        <v>87</v>
      </c>
      <c r="D23" s="8">
        <v>8</v>
      </c>
      <c r="E23" s="8" t="s">
        <v>109</v>
      </c>
    </row>
    <row r="24" ht="22" customHeight="1" spans="1:5" x14ac:dyDescent="0.25">
      <c r="A24" s="5" t="s">
        <v>58</v>
      </c>
      <c r="B24" s="5" t="s">
        <v>74</v>
      </c>
      <c r="C24" s="5" t="s">
        <v>87</v>
      </c>
      <c r="D24" s="5">
        <v>10</v>
      </c>
      <c r="E24" s="5" t="s">
        <v>110</v>
      </c>
    </row>
    <row r="25" ht="22" customHeight="1" spans="1:5" x14ac:dyDescent="0.25">
      <c r="A25" s="8" t="s">
        <v>58</v>
      </c>
      <c r="B25" s="8" t="s">
        <v>78</v>
      </c>
      <c r="C25" s="8" t="s">
        <v>87</v>
      </c>
      <c r="D25" s="8">
        <v>12</v>
      </c>
      <c r="E25" s="8" t="s">
        <v>111</v>
      </c>
    </row>
    <row r="26" ht="22" customHeight="1" spans="1:5" x14ac:dyDescent="0.25">
      <c r="A26" s="5" t="s">
        <v>58</v>
      </c>
      <c r="B26" s="5" t="s">
        <v>79</v>
      </c>
      <c r="C26" s="5" t="s">
        <v>87</v>
      </c>
      <c r="D26" s="5">
        <v>4</v>
      </c>
      <c r="E26" s="5" t="s">
        <v>112</v>
      </c>
    </row>
    <row r="27" ht="22" customHeight="1" spans="1:5" x14ac:dyDescent="0.25">
      <c r="A27" s="8" t="s">
        <v>44</v>
      </c>
      <c r="B27" s="8" t="s">
        <v>72</v>
      </c>
      <c r="C27" s="8" t="s">
        <v>113</v>
      </c>
      <c r="D27" s="8">
        <v>14</v>
      </c>
      <c r="E27" s="8" t="s">
        <v>114</v>
      </c>
    </row>
    <row r="28" ht="22" customHeight="1" spans="1:5" x14ac:dyDescent="0.25">
      <c r="A28" s="5" t="s">
        <v>44</v>
      </c>
      <c r="B28" s="5" t="s">
        <v>77</v>
      </c>
      <c r="C28" s="5" t="s">
        <v>113</v>
      </c>
      <c r="D28" s="5">
        <v>10</v>
      </c>
      <c r="E28" s="5" t="s">
        <v>115</v>
      </c>
    </row>
    <row r="29" ht="22" customHeight="1" spans="1:5" x14ac:dyDescent="0.25">
      <c r="A29" s="8" t="s">
        <v>44</v>
      </c>
      <c r="B29" s="8" t="s">
        <v>75</v>
      </c>
      <c r="C29" s="8" t="s">
        <v>113</v>
      </c>
      <c r="D29" s="8">
        <v>8</v>
      </c>
      <c r="E29" s="8" t="s">
        <v>116</v>
      </c>
    </row>
    <row r="30" ht="22" customHeight="1" spans="1:5" x14ac:dyDescent="0.25">
      <c r="A30" s="5" t="s">
        <v>46</v>
      </c>
      <c r="B30" s="5" t="s">
        <v>74</v>
      </c>
      <c r="C30" s="5" t="s">
        <v>113</v>
      </c>
      <c r="D30" s="5">
        <v>10</v>
      </c>
      <c r="E30" s="5" t="s">
        <v>117</v>
      </c>
    </row>
    <row r="31" ht="22" customHeight="1" spans="1:5" x14ac:dyDescent="0.25">
      <c r="A31" s="8" t="s">
        <v>46</v>
      </c>
      <c r="B31" s="8" t="s">
        <v>78</v>
      </c>
      <c r="C31" s="8" t="s">
        <v>113</v>
      </c>
      <c r="D31" s="8">
        <v>16</v>
      </c>
      <c r="E31" s="8" t="s">
        <v>118</v>
      </c>
    </row>
    <row r="32" ht="22" customHeight="1" spans="1:5" x14ac:dyDescent="0.25">
      <c r="A32" s="5" t="s">
        <v>46</v>
      </c>
      <c r="B32" s="5" t="s">
        <v>75</v>
      </c>
      <c r="C32" s="5" t="s">
        <v>113</v>
      </c>
      <c r="D32" s="5">
        <v>8</v>
      </c>
      <c r="E32" s="5" t="s">
        <v>119</v>
      </c>
    </row>
    <row r="33" ht="22" customHeight="1" spans="1:5" x14ac:dyDescent="0.25">
      <c r="A33" s="8" t="s">
        <v>48</v>
      </c>
      <c r="B33" s="8" t="s">
        <v>72</v>
      </c>
      <c r="C33" s="8" t="s">
        <v>113</v>
      </c>
      <c r="D33" s="8">
        <v>8</v>
      </c>
      <c r="E33" s="8" t="s">
        <v>120</v>
      </c>
    </row>
    <row r="34" ht="22" customHeight="1" spans="1:5" x14ac:dyDescent="0.25">
      <c r="A34" s="5" t="s">
        <v>48</v>
      </c>
      <c r="B34" s="5" t="s">
        <v>75</v>
      </c>
      <c r="C34" s="5" t="s">
        <v>113</v>
      </c>
      <c r="D34" s="5">
        <v>12</v>
      </c>
      <c r="E34" s="5" t="s">
        <v>121</v>
      </c>
    </row>
    <row r="35" ht="22" customHeight="1" spans="1:5" x14ac:dyDescent="0.25">
      <c r="A35" s="8" t="s">
        <v>48</v>
      </c>
      <c r="B35" s="8" t="s">
        <v>77</v>
      </c>
      <c r="C35" s="8" t="s">
        <v>113</v>
      </c>
      <c r="D35" s="8">
        <v>6</v>
      </c>
      <c r="E35" s="8" t="s">
        <v>122</v>
      </c>
    </row>
    <row r="36" ht="22" customHeight="1" spans="1:5" x14ac:dyDescent="0.25">
      <c r="A36" s="5" t="s">
        <v>50</v>
      </c>
      <c r="B36" s="5" t="s">
        <v>77</v>
      </c>
      <c r="C36" s="5" t="s">
        <v>113</v>
      </c>
      <c r="D36" s="5">
        <v>18</v>
      </c>
      <c r="E36" s="5" t="s">
        <v>123</v>
      </c>
    </row>
    <row r="37" ht="22" customHeight="1" spans="1:5" x14ac:dyDescent="0.25">
      <c r="A37" s="8" t="s">
        <v>50</v>
      </c>
      <c r="B37" s="8" t="s">
        <v>75</v>
      </c>
      <c r="C37" s="8" t="s">
        <v>113</v>
      </c>
      <c r="D37" s="8">
        <v>10</v>
      </c>
      <c r="E37" s="8" t="s">
        <v>124</v>
      </c>
    </row>
    <row r="38" ht="22" customHeight="1" spans="1:5" x14ac:dyDescent="0.25">
      <c r="A38" s="5" t="s">
        <v>50</v>
      </c>
      <c r="B38" s="5" t="s">
        <v>79</v>
      </c>
      <c r="C38" s="5" t="s">
        <v>113</v>
      </c>
      <c r="D38" s="5">
        <v>3</v>
      </c>
      <c r="E38" s="5" t="s">
        <v>125</v>
      </c>
    </row>
    <row r="39" ht="22" customHeight="1" spans="1:5" x14ac:dyDescent="0.25">
      <c r="A39" s="8" t="s">
        <v>52</v>
      </c>
      <c r="B39" s="8" t="s">
        <v>74</v>
      </c>
      <c r="C39" s="8" t="s">
        <v>113</v>
      </c>
      <c r="D39" s="8">
        <v>16</v>
      </c>
      <c r="E39" s="8" t="s">
        <v>126</v>
      </c>
    </row>
    <row r="40" ht="22" customHeight="1" spans="1:5" x14ac:dyDescent="0.25">
      <c r="A40" s="5" t="s">
        <v>52</v>
      </c>
      <c r="B40" s="5" t="s">
        <v>78</v>
      </c>
      <c r="C40" s="5" t="s">
        <v>113</v>
      </c>
      <c r="D40" s="5">
        <v>12</v>
      </c>
      <c r="E40" s="5" t="s">
        <v>127</v>
      </c>
    </row>
    <row r="41" ht="22" customHeight="1" spans="1:5" x14ac:dyDescent="0.25">
      <c r="A41" s="8" t="s">
        <v>52</v>
      </c>
      <c r="B41" s="8" t="s">
        <v>75</v>
      </c>
      <c r="C41" s="8" t="s">
        <v>113</v>
      </c>
      <c r="D41" s="8">
        <v>4</v>
      </c>
      <c r="E41" s="8" t="s">
        <v>128</v>
      </c>
    </row>
    <row r="42" ht="22" customHeight="1" spans="1:5" x14ac:dyDescent="0.25">
      <c r="A42" s="5" t="s">
        <v>54</v>
      </c>
      <c r="B42" s="5" t="s">
        <v>75</v>
      </c>
      <c r="C42" s="5" t="s">
        <v>113</v>
      </c>
      <c r="D42" s="5">
        <v>32</v>
      </c>
      <c r="E42" s="5" t="s">
        <v>129</v>
      </c>
    </row>
    <row r="43" ht="22" customHeight="1" spans="1:5" x14ac:dyDescent="0.25">
      <c r="A43" s="8" t="s">
        <v>54</v>
      </c>
      <c r="B43" s="8" t="s">
        <v>79</v>
      </c>
      <c r="C43" s="8" t="s">
        <v>113</v>
      </c>
      <c r="D43" s="8">
        <v>2</v>
      </c>
      <c r="E43" s="8" t="s">
        <v>130</v>
      </c>
    </row>
    <row r="44" ht="22" customHeight="1" spans="1:5" x14ac:dyDescent="0.25">
      <c r="A44" s="5" t="s">
        <v>56</v>
      </c>
      <c r="B44" s="5" t="s">
        <v>72</v>
      </c>
      <c r="C44" s="5" t="s">
        <v>113</v>
      </c>
      <c r="D44" s="5">
        <v>4</v>
      </c>
      <c r="E44" s="5" t="s">
        <v>131</v>
      </c>
    </row>
    <row r="45" ht="22" customHeight="1" spans="1:5" x14ac:dyDescent="0.25">
      <c r="A45" s="8" t="s">
        <v>56</v>
      </c>
      <c r="B45" s="8" t="s">
        <v>75</v>
      </c>
      <c r="C45" s="8" t="s">
        <v>113</v>
      </c>
      <c r="D45" s="8">
        <v>8</v>
      </c>
      <c r="E45" s="8" t="s">
        <v>132</v>
      </c>
    </row>
    <row r="46" ht="22" customHeight="1" spans="1:5" x14ac:dyDescent="0.25">
      <c r="A46" s="5" t="s">
        <v>56</v>
      </c>
      <c r="B46" s="5" t="s">
        <v>78</v>
      </c>
      <c r="C46" s="5" t="s">
        <v>113</v>
      </c>
      <c r="D46" s="5">
        <v>6</v>
      </c>
      <c r="E46" s="5" t="s">
        <v>133</v>
      </c>
    </row>
    <row r="47" ht="22" customHeight="1" spans="1:5" x14ac:dyDescent="0.25">
      <c r="A47" s="8" t="s">
        <v>56</v>
      </c>
      <c r="B47" s="8" t="s">
        <v>79</v>
      </c>
      <c r="C47" s="8" t="s">
        <v>113</v>
      </c>
      <c r="D47" s="8">
        <v>6</v>
      </c>
      <c r="E47" s="8" t="s">
        <v>134</v>
      </c>
    </row>
    <row r="48" ht="22" customHeight="1" spans="1:5" x14ac:dyDescent="0.25">
      <c r="A48" s="5" t="s">
        <v>58</v>
      </c>
      <c r="B48" s="5" t="s">
        <v>74</v>
      </c>
      <c r="C48" s="5" t="s">
        <v>113</v>
      </c>
      <c r="D48" s="5">
        <v>8</v>
      </c>
      <c r="E48" s="5" t="s">
        <v>135</v>
      </c>
    </row>
    <row r="49" ht="22" customHeight="1" spans="1:5" x14ac:dyDescent="0.25">
      <c r="A49" s="8" t="s">
        <v>58</v>
      </c>
      <c r="B49" s="8" t="s">
        <v>78</v>
      </c>
      <c r="C49" s="8" t="s">
        <v>113</v>
      </c>
      <c r="D49" s="8">
        <v>14</v>
      </c>
      <c r="E49" s="8" t="s">
        <v>136</v>
      </c>
    </row>
    <row r="50" ht="22" customHeight="1" spans="1:5" x14ac:dyDescent="0.25">
      <c r="A50" s="5" t="s">
        <v>58</v>
      </c>
      <c r="B50" s="5" t="s">
        <v>79</v>
      </c>
      <c r="C50" s="5" t="s">
        <v>113</v>
      </c>
      <c r="D50" s="5">
        <v>3</v>
      </c>
      <c r="E50" s="5" t="s">
        <v>137</v>
      </c>
    </row>
    <row r="51" spans="1:5" x14ac:dyDescent="0.25">
      <c r="A51" s="25"/>
      <c r="B51" s="25"/>
      <c r="C51" s="25"/>
      <c r="D51" s="25"/>
      <c r="E51" s="25"/>
    </row>
    <row r="52" spans="1:5" x14ac:dyDescent="0.25">
      <c r="A52" s="25"/>
      <c r="B52" s="25"/>
      <c r="C52" s="25"/>
      <c r="D52" s="25"/>
      <c r="E52" s="25"/>
    </row>
    <row r="53" spans="1:5" x14ac:dyDescent="0.25">
      <c r="A53" s="25"/>
      <c r="B53" s="25"/>
      <c r="C53" s="25"/>
      <c r="D53" s="25"/>
      <c r="E53" s="25"/>
    </row>
    <row r="54" spans="1:5" x14ac:dyDescent="0.25">
      <c r="A54" s="25"/>
      <c r="B54" s="25"/>
      <c r="C54" s="25"/>
      <c r="D54" s="25"/>
      <c r="E54" s="25"/>
    </row>
    <row r="55" spans="1:5" x14ac:dyDescent="0.25">
      <c r="A55" s="25"/>
      <c r="B55" s="25"/>
      <c r="C55" s="25"/>
      <c r="D55" s="25"/>
      <c r="E55" s="25"/>
    </row>
    <row r="56" spans="1:5" x14ac:dyDescent="0.25">
      <c r="A56" s="25"/>
      <c r="B56" s="25"/>
      <c r="C56" s="25"/>
      <c r="D56" s="25"/>
      <c r="E56" s="25"/>
    </row>
    <row r="57" spans="1:5" x14ac:dyDescent="0.25">
      <c r="A57" s="25"/>
      <c r="B57" s="25"/>
      <c r="C57" s="25"/>
      <c r="D57" s="25"/>
      <c r="E57" s="25"/>
    </row>
    <row r="58" spans="1:5" x14ac:dyDescent="0.25">
      <c r="A58" s="25"/>
      <c r="B58" s="25"/>
      <c r="C58" s="25"/>
      <c r="D58" s="25"/>
      <c r="E58" s="25"/>
    </row>
    <row r="59" spans="1:5" x14ac:dyDescent="0.25">
      <c r="A59" s="25"/>
      <c r="B59" s="25"/>
      <c r="C59" s="25"/>
      <c r="D59" s="25"/>
      <c r="E59" s="25"/>
    </row>
    <row r="60" spans="1:5" x14ac:dyDescent="0.25">
      <c r="A60" s="25"/>
      <c r="B60" s="25"/>
      <c r="C60" s="25"/>
      <c r="D60" s="25"/>
      <c r="E60" s="25"/>
    </row>
    <row r="61" spans="1:5" x14ac:dyDescent="0.25">
      <c r="A61" s="25"/>
      <c r="B61" s="25"/>
      <c r="C61" s="25"/>
      <c r="D61" s="25"/>
      <c r="E61" s="25"/>
    </row>
    <row r="62" spans="1:5" x14ac:dyDescent="0.25">
      <c r="A62" s="25"/>
      <c r="B62" s="25"/>
      <c r="C62" s="25"/>
      <c r="D62" s="25"/>
      <c r="E62" s="25"/>
    </row>
    <row r="63" spans="1:5" x14ac:dyDescent="0.25">
      <c r="A63" s="25"/>
      <c r="B63" s="25"/>
      <c r="C63" s="25"/>
      <c r="D63" s="25"/>
      <c r="E63" s="25"/>
    </row>
    <row r="64" spans="1:5" x14ac:dyDescent="0.25">
      <c r="A64" s="25"/>
      <c r="B64" s="25"/>
      <c r="C64" s="25"/>
      <c r="D64" s="25"/>
      <c r="E64" s="25"/>
    </row>
    <row r="65" spans="1:5" x14ac:dyDescent="0.25">
      <c r="A65" s="25"/>
      <c r="B65" s="25"/>
      <c r="C65" s="25"/>
      <c r="D65" s="25"/>
      <c r="E65" s="25"/>
    </row>
    <row r="66" spans="1:5" x14ac:dyDescent="0.25">
      <c r="A66" s="25"/>
      <c r="B66" s="25"/>
      <c r="C66" s="25"/>
      <c r="D66" s="25"/>
      <c r="E66" s="25"/>
    </row>
    <row r="67" spans="1:5" x14ac:dyDescent="0.25">
      <c r="A67" s="25"/>
      <c r="B67" s="25"/>
      <c r="C67" s="25"/>
      <c r="D67" s="25"/>
      <c r="E67" s="25"/>
    </row>
    <row r="68" spans="1:5" x14ac:dyDescent="0.25">
      <c r="A68" s="25"/>
      <c r="B68" s="25"/>
      <c r="C68" s="25"/>
      <c r="D68" s="25"/>
      <c r="E68" s="25"/>
    </row>
    <row r="69" spans="1:5" x14ac:dyDescent="0.25">
      <c r="A69" s="25"/>
      <c r="B69" s="25"/>
      <c r="C69" s="25"/>
      <c r="D69" s="25"/>
      <c r="E69" s="25"/>
    </row>
    <row r="70" spans="1:5" x14ac:dyDescent="0.25">
      <c r="A70" s="25"/>
      <c r="B70" s="25"/>
      <c r="C70" s="25"/>
      <c r="D70" s="25"/>
      <c r="E70" s="25"/>
    </row>
    <row r="71" spans="1:5" x14ac:dyDescent="0.25">
      <c r="A71" s="13" t="s">
        <v>138</v>
      </c>
      <c r="B71" s="13"/>
      <c r="C71" s="13"/>
      <c r="D71" s="13"/>
      <c r="E71" s="13"/>
    </row>
  </sheetData>
  <sheetProtection sheet="1" formatColumns="0" formatRows="0" insertRows="0" sort="0" autoFilter="0"/>
  <autoFilter ref="A1:E1"/>
  <mergeCells count="1">
    <mergeCell ref="A71:E71"/>
  </mergeCells>
  <dataValidations count="6">
    <dataValidation type="list" allowBlank="1" showErrorMessage="1" errorTitle="Persona no encontrada" error="Selecciona una persona de la lista o escribe el nombre exacto como aparece en la hoja &quot;Equipo&quot;." sqref="A10:A50">
      <formula1>"Ana López,Luis García,María Pérez,Carlos Ruiz,Elena Martín,Jorge Navarro,Sara Díaz,Pablo Torres"</formula1>
    </dataValidation>
    <dataValidation type="list" allowBlank="1" showErrorMessage="1" errorTitle="Persona no encontrada" error="Selecciona una persona de la lista o escribe el nombre exacto como aparece en la hoja &quot;Equipo&quot;." sqref="A2:A50">
      <formula1>"Ana López,Luis García,María Pérez,Carlos Ruiz,Elena Martín,Jorge Navarro,Sara Díaz,Pablo Torres"</formula1>
    </dataValidation>
    <dataValidation type="list" allowBlank="1" sqref="A51:A70">
      <formula1>"Ana López,Luis García,María Pérez,Carlos Ruiz,Elena Martín,Jorge Navarro,Sara Díaz,Pablo Torres"</formula1>
    </dataValidation>
    <dataValidation type="list" allowBlank="1" showErrorMessage="1" errorTitle="Proyecto no encontrado" error="Selecciona un proyecto de la lista o escribe el nombre exacto como aparece en la hoja &quot;Proyectos&quot;." sqref="B10:B50">
      <formula1>"Marca Alpha — Paid,Marca Alpha — Social,Marca Beta — Web,Marca Gamma — SEO,Marca Delta — Branding,Interno — Formación"</formula1>
    </dataValidation>
    <dataValidation type="list" allowBlank="1" showErrorMessage="1" errorTitle="Proyecto no encontrado" error="Selecciona un proyecto de la lista o escribe el nombre exacto como aparece en la hoja &quot;Proyectos&quot;." sqref="B2:B50">
      <formula1>"Marca Alpha — Paid,Marca Alpha — Social,Marca Beta — Web,Marca Gamma — SEO,Marca Delta — Branding,Interno — Formación"</formula1>
    </dataValidation>
    <dataValidation type="list" allowBlank="1" sqref="B51:B70">
      <formula1>"Marca Alpha — Paid,Marca Alpha — Social,Marca Beta — Web,Marca Gamma — SEO,Marca Delta — Branding,Interno — Formación"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  <pageSetUpPr fitToPage="1"/>
  </sheetPr>
  <dimension ref="A1:I1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22" customWidth="1"/>
    <col min="3" max="3" width="16" customWidth="1"/>
    <col min="4" max="4" width="14" customWidth="1"/>
    <col min="5" max="5" width="12" customWidth="1"/>
    <col min="6" max="6" width="14" customWidth="1"/>
    <col min="7" max="7" width="20" customWidth="1"/>
    <col min="8" max="8" width="16" customWidth="1"/>
    <col min="9" max="9" width="14" customWidth="1"/>
  </cols>
  <sheetData>
    <row r="1" ht="30" customHeight="1" spans="1:9" x14ac:dyDescent="0.25">
      <c r="A1" s="26" t="s">
        <v>36</v>
      </c>
      <c r="B1" s="26" t="s">
        <v>139</v>
      </c>
      <c r="C1" s="26" t="s">
        <v>140</v>
      </c>
      <c r="D1" s="26" t="s">
        <v>141</v>
      </c>
      <c r="E1" s="26" t="s">
        <v>142</v>
      </c>
      <c r="F1" s="26" t="s">
        <v>143</v>
      </c>
      <c r="G1" s="26" t="s">
        <v>144</v>
      </c>
      <c r="H1" s="26" t="s">
        <v>145</v>
      </c>
      <c r="I1" s="26" t="s">
        <v>146</v>
      </c>
    </row>
    <row r="2" ht="22" customHeight="1" spans="1:9" x14ac:dyDescent="0.25">
      <c r="A2" s="15" t="s">
        <v>44</v>
      </c>
      <c r="B2" s="15">
        <f>Equipo!B2</f>
      </c>
      <c r="C2" s="15">
        <f>Equipo!G2</f>
      </c>
      <c r="D2" s="15">
        <f>SUMIF(Asignacion!A:A,A2,Asignacion!D:D)</f>
      </c>
      <c r="E2" s="15">
        <f>C2-D2</f>
      </c>
      <c r="F2" s="16">
        <f>IFERROR(D2/C2,0)</f>
      </c>
      <c r="G2" s="15">
        <f>IF(F2&gt;=1,"⛔ SOBRECARGA",IF(F2&gt;0.9,"⚠️ RIESGO",IF(F2&gt;0.7,"✅ ÓPTIMO","💤 BAJA CARGA")))</f>
      </c>
      <c r="H2" s="17">
        <f>D2*Equipo!H2</f>
      </c>
      <c r="I2" s="15">
        <f>COUNTIF(Asignacion!A:A,A2)</f>
      </c>
    </row>
    <row r="3" ht="22" customHeight="1" spans="1:9" x14ac:dyDescent="0.25">
      <c r="A3" s="18" t="s">
        <v>46</v>
      </c>
      <c r="B3" s="18">
        <f>Equipo!B3</f>
      </c>
      <c r="C3" s="18">
        <f>Equipo!G3</f>
      </c>
      <c r="D3" s="18">
        <f>SUMIF(Asignacion!A:A,A3,Asignacion!D:D)</f>
      </c>
      <c r="E3" s="18">
        <f>C3-D3</f>
      </c>
      <c r="F3" s="19">
        <f>IFERROR(D3/C3,0)</f>
      </c>
      <c r="G3" s="18">
        <f>IF(F3&gt;=1,"⛔ SOBRECARGA",IF(F3&gt;0.9,"⚠️ RIESGO",IF(F3&gt;0.7,"✅ ÓPTIMO","💤 BAJA CARGA")))</f>
      </c>
      <c r="H3" s="20">
        <f>D3*Equipo!H3</f>
      </c>
      <c r="I3" s="18">
        <f>COUNTIF(Asignacion!A:A,A3)</f>
      </c>
    </row>
    <row r="4" ht="22" customHeight="1" spans="1:9" x14ac:dyDescent="0.25">
      <c r="A4" s="15" t="s">
        <v>48</v>
      </c>
      <c r="B4" s="15">
        <f>Equipo!B4</f>
      </c>
      <c r="C4" s="15">
        <f>Equipo!G4</f>
      </c>
      <c r="D4" s="15">
        <f>SUMIF(Asignacion!A:A,A4,Asignacion!D:D)</f>
      </c>
      <c r="E4" s="15">
        <f>C4-D4</f>
      </c>
      <c r="F4" s="16">
        <f>IFERROR(D4/C4,0)</f>
      </c>
      <c r="G4" s="15">
        <f>IF(F4&gt;=1,"⛔ SOBRECARGA",IF(F4&gt;0.9,"⚠️ RIESGO",IF(F4&gt;0.7,"✅ ÓPTIMO","💤 BAJA CARGA")))</f>
      </c>
      <c r="H4" s="17">
        <f>D4*Equipo!H4</f>
      </c>
      <c r="I4" s="15">
        <f>COUNTIF(Asignacion!A:A,A4)</f>
      </c>
    </row>
    <row r="5" ht="22" customHeight="1" spans="1:9" x14ac:dyDescent="0.25">
      <c r="A5" s="18" t="s">
        <v>50</v>
      </c>
      <c r="B5" s="18">
        <f>Equipo!B5</f>
      </c>
      <c r="C5" s="18">
        <f>Equipo!G5</f>
      </c>
      <c r="D5" s="18">
        <f>SUMIF(Asignacion!A:A,A5,Asignacion!D:D)</f>
      </c>
      <c r="E5" s="18">
        <f>C5-D5</f>
      </c>
      <c r="F5" s="19">
        <f>IFERROR(D5/C5,0)</f>
      </c>
      <c r="G5" s="18">
        <f>IF(F5&gt;=1,"⛔ SOBRECARGA",IF(F5&gt;0.9,"⚠️ RIESGO",IF(F5&gt;0.7,"✅ ÓPTIMO","💤 BAJA CARGA")))</f>
      </c>
      <c r="H5" s="20">
        <f>D5*Equipo!H5</f>
      </c>
      <c r="I5" s="18">
        <f>COUNTIF(Asignacion!A:A,A5)</f>
      </c>
    </row>
    <row r="6" ht="22" customHeight="1" spans="1:9" x14ac:dyDescent="0.25">
      <c r="A6" s="15" t="s">
        <v>52</v>
      </c>
      <c r="B6" s="15">
        <f>Equipo!B6</f>
      </c>
      <c r="C6" s="15">
        <f>Equipo!G6</f>
      </c>
      <c r="D6" s="15">
        <f>SUMIF(Asignacion!A:A,A6,Asignacion!D:D)</f>
      </c>
      <c r="E6" s="15">
        <f>C6-D6</f>
      </c>
      <c r="F6" s="16">
        <f>IFERROR(D6/C6,0)</f>
      </c>
      <c r="G6" s="15">
        <f>IF(F6&gt;=1,"⛔ SOBRECARGA",IF(F6&gt;0.9,"⚠️ RIESGO",IF(F6&gt;0.7,"✅ ÓPTIMO","💤 BAJA CARGA")))</f>
      </c>
      <c r="H6" s="17">
        <f>D6*Equipo!H6</f>
      </c>
      <c r="I6" s="15">
        <f>COUNTIF(Asignacion!A:A,A6)</f>
      </c>
    </row>
    <row r="7" ht="22" customHeight="1" spans="1:9" x14ac:dyDescent="0.25">
      <c r="A7" s="18" t="s">
        <v>54</v>
      </c>
      <c r="B7" s="18">
        <f>Equipo!B7</f>
      </c>
      <c r="C7" s="18">
        <f>Equipo!G7</f>
      </c>
      <c r="D7" s="18">
        <f>SUMIF(Asignacion!A:A,A7,Asignacion!D:D)</f>
      </c>
      <c r="E7" s="18">
        <f>C7-D7</f>
      </c>
      <c r="F7" s="19">
        <f>IFERROR(D7/C7,0)</f>
      </c>
      <c r="G7" s="18">
        <f>IF(F7&gt;=1,"⛔ SOBRECARGA",IF(F7&gt;0.9,"⚠️ RIESGO",IF(F7&gt;0.7,"✅ ÓPTIMO","💤 BAJA CARGA")))</f>
      </c>
      <c r="H7" s="20">
        <f>D7*Equipo!H7</f>
      </c>
      <c r="I7" s="18">
        <f>COUNTIF(Asignacion!A:A,A7)</f>
      </c>
    </row>
    <row r="8" ht="22" customHeight="1" spans="1:9" x14ac:dyDescent="0.25">
      <c r="A8" s="15" t="s">
        <v>56</v>
      </c>
      <c r="B8" s="15">
        <f>Equipo!B8</f>
      </c>
      <c r="C8" s="15">
        <f>Equipo!G8</f>
      </c>
      <c r="D8" s="15">
        <f>SUMIF(Asignacion!A:A,A8,Asignacion!D:D)</f>
      </c>
      <c r="E8" s="15">
        <f>C8-D8</f>
      </c>
      <c r="F8" s="16">
        <f>IFERROR(D8/C8,0)</f>
      </c>
      <c r="G8" s="15">
        <f>IF(F8&gt;=1,"⛔ SOBRECARGA",IF(F8&gt;0.9,"⚠️ RIESGO",IF(F8&gt;0.7,"✅ ÓPTIMO","💤 BAJA CARGA")))</f>
      </c>
      <c r="H8" s="17">
        <f>D8*Equipo!H8</f>
      </c>
      <c r="I8" s="15">
        <f>COUNTIF(Asignacion!A:A,A8)</f>
      </c>
    </row>
    <row r="9" ht="22" customHeight="1" spans="1:9" x14ac:dyDescent="0.25">
      <c r="A9" s="18" t="s">
        <v>58</v>
      </c>
      <c r="B9" s="18">
        <f>Equipo!B9</f>
      </c>
      <c r="C9" s="18">
        <f>Equipo!G9</f>
      </c>
      <c r="D9" s="18">
        <f>SUMIF(Asignacion!A:A,A9,Asignacion!D:D)</f>
      </c>
      <c r="E9" s="18">
        <f>C9-D9</f>
      </c>
      <c r="F9" s="19">
        <f>IFERROR(D9/C9,0)</f>
      </c>
      <c r="G9" s="18">
        <f>IF(F9&gt;=1,"⛔ SOBRECARGA",IF(F9&gt;0.9,"⚠️ RIESGO",IF(F9&gt;0.7,"✅ ÓPTIMO","💤 BAJA CARGA")))</f>
      </c>
      <c r="H9" s="20">
        <f>D9*Equipo!H9</f>
      </c>
      <c r="I9" s="18">
        <f>COUNTIF(Asignacion!A:A,A9)</f>
      </c>
    </row>
    <row r="10" spans="1:9" x14ac:dyDescent="0.25">
      <c r="A10" s="12" t="s">
        <v>147</v>
      </c>
      <c r="C10" s="12">
        <f>SUM(C2:C9)</f>
      </c>
      <c r="D10" s="12">
        <f>SUM(D2:D9)</f>
      </c>
      <c r="E10" s="12">
        <f>SUM(E2:E9)</f>
      </c>
      <c r="F10" s="27">
        <f>IFERROR(D10/C10,0)</f>
      </c>
      <c r="H10" s="28">
        <f>SUM(H2:H9)</f>
      </c>
      <c r="I10" s="12">
        <f>SUM(I2:I9)</f>
      </c>
    </row>
    <row r="12" spans="1:1" x14ac:dyDescent="0.25">
      <c r="A12" s="29" t="s">
        <v>148</v>
      </c>
    </row>
    <row r="13" spans="1:2" x14ac:dyDescent="0.25">
      <c r="A13" s="2" t="s">
        <v>149</v>
      </c>
      <c r="B13" s="30">
        <f>F10</f>
      </c>
    </row>
    <row r="14" spans="1:2" x14ac:dyDescent="0.25">
      <c r="A14" s="2" t="s">
        <v>150</v>
      </c>
      <c r="B14" s="31">
        <f>COUNTIF(F2:F9,"&gt;"&amp;0.9)</f>
      </c>
    </row>
    <row r="15" spans="1:2" x14ac:dyDescent="0.25">
      <c r="A15" s="2" t="s">
        <v>151</v>
      </c>
      <c r="B15" s="31">
        <f>E10</f>
      </c>
    </row>
    <row r="16" spans="1:2" x14ac:dyDescent="0.25">
      <c r="A16" s="2" t="s">
        <v>152</v>
      </c>
      <c r="B16" s="32">
        <f>H10</f>
      </c>
    </row>
    <row r="17" spans="1:2" x14ac:dyDescent="0.25">
      <c r="A17" s="2" t="s">
        <v>153</v>
      </c>
      <c r="B17" s="33">
        <f>4*Equipo!H4</f>
      </c>
    </row>
    <row r="18" spans="1:2" x14ac:dyDescent="0.25">
      <c r="A18" s="2" t="s">
        <v>154</v>
      </c>
      <c r="B18" s="33">
        <f>4*Equipo!H4*52</f>
      </c>
    </row>
  </sheetData>
  <sheetProtection sheet="1" formatColumns="0" formatRows="0" sort="0" autoFilter="0"/>
  <autoFilter ref="A1:I1"/>
  <conditionalFormatting sqref="F2:F9">
    <cfRule type="cellIs" dxfId="3" priority="1" operator="greaterThanOrEqual">
      <formula>1</formula>
    </cfRule>
    <cfRule type="cellIs" dxfId="4" priority="2" operator="greaterThan">
      <formula>0.9</formula>
    </cfRule>
    <cfRule type="cellIs" dxfId="5" priority="3" operator="greaterThan">
      <formula>0.7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Equipo</vt:lpstr>
      <vt:lpstr>Proyectos</vt:lpstr>
      <vt:lpstr>Asignacion</vt:lpstr>
      <vt:lpstr>Insights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Taimbox</dc:creator>
  <dc:title/>
  <dc:subject/>
  <dc:description/>
  <cp:keywords/>
  <cp:category/>
  <cp:lastModifiedBy>Unknown</cp:lastModifiedBy>
  <dcterms:created xsi:type="dcterms:W3CDTF">2026-05-27T21:27:04Z</dcterms:created>
  <dcterms:modified xsi:type="dcterms:W3CDTF">2026-05-27T21:27:04Z</dcterms:modified>
</cp:coreProperties>
</file>